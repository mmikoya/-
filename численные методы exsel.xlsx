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50"/>
  </bookViews>
  <sheets>
    <sheet name="секущие" sheetId="1" r:id="rId1"/>
    <sheet name="ньютон" sheetId="2" r:id="rId2"/>
    <sheet name="простая итерация" sheetId="3" r:id="rId3"/>
    <sheet name="бисекция" sheetId="4" r:id="rId4"/>
  </sheets>
  <calcPr calcId="191029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<sst xmlns="http://schemas.openxmlformats.org/spreadsheetml/2006/main" count="48" uniqueCount="33">
  <si>
    <t>f(x) = x^3 + 3x - 1</t>
  </si>
  <si>
    <t>x0</t>
  </si>
  <si>
    <t>x1</t>
  </si>
  <si>
    <t>eps</t>
  </si>
  <si>
    <t>k</t>
  </si>
  <si>
    <t>x_k</t>
  </si>
  <si>
    <t>f(x_k)</t>
  </si>
  <si>
    <t>x_k−x_{k−1}</t>
  </si>
  <si>
    <t>f(x_k)−f(x_{k−1})</t>
  </si>
  <si>
    <t>x_{k+1}</t>
  </si>
  <si>
    <t>|x_{k+1}−x_k|</t>
  </si>
  <si>
    <t>f(x)=x^3+3x-1</t>
  </si>
  <si>
    <t>f'(x)=3x^2+3</t>
  </si>
  <si>
    <t>0,0001</t>
  </si>
  <si>
    <t>k_x</t>
  </si>
  <si>
    <t>f'(x_k)</t>
  </si>
  <si>
    <t>phi(x)=(1-x^3)/3</t>
  </si>
  <si>
    <t>phi'(x0)</t>
  </si>
  <si>
    <t>n</t>
  </si>
  <si>
    <t>x_n</t>
  </si>
  <si>
    <t>x_{n+1}=phi(x_n)</t>
  </si>
  <si>
    <t>|x_{n+1}−x_n|</t>
  </si>
  <si>
    <t>F(x_{n+1})</t>
  </si>
  <si>
    <t>a</t>
  </si>
  <si>
    <t>b</t>
  </si>
  <si>
    <t>f(a)</t>
  </si>
  <si>
    <t>f(b)</t>
  </si>
  <si>
    <t>итерация</t>
  </si>
  <si>
    <t>c=(a+b)/2</t>
  </si>
  <si>
    <t>f(c)</t>
  </si>
  <si>
    <t>f(a)·f(c)</t>
  </si>
  <si>
    <t>b-a</t>
  </si>
  <si>
    <t>|f(c)|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</si>
</sst>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sz val="9.85"/>
      <name val="Consolas"/>
      <charset val="134"/>
    </font>
    <font>
      <sz val="11"/>
      <name val="Calibri"/>
      <charset val="134"/>
      <scheme val="minor"/>
    </font>
    <font>
      <sz val="11.25"/>
      <name val="Segoe UI"/>
      <charset val="134"/>
    </font>
    <font>
      <sz val="10"/>
      <name val="Consolas"/>
      <charset val="134"/>
    </font>
    <font>
      <sz val="11.5"/>
      <name val="Segoe UI"/>
      <charset val="134"/>
    </font>
    <font>
      <sz val="10"/>
      <name val="Segoe UI"/>
      <charset val="134"/>
    </font>
    <font>
      <sz val="1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6" borderId="12" applyNumberFormat="0" applyAlignment="0" applyProtection="0">
      <alignment vertical="center"/>
    </xf>
    <xf numFmtId="0" fontId="18" fillId="6" borderId="11" applyNumberFormat="0" applyAlignment="0" applyProtection="0">
      <alignment vertical="center"/>
    </xf>
    <xf numFmtId="0" fontId="19" fillId="7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0" fillId="2" borderId="1" xfId="0" applyFill="1" applyBorder="1">
      <alignment vertical="center"/>
    </xf>
    <xf numFmtId="0" fontId="2" fillId="3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0" fillId="2" borderId="1" xfId="0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5" fillId="3" borderId="1" xfId="0" applyFont="1" applyFill="1" applyBorder="1">
      <alignment vertical="center"/>
    </xf>
    <xf numFmtId="0" fontId="2" fillId="0" borderId="0" xfId="0" applyFont="1">
      <alignment vertical="center"/>
    </xf>
    <xf numFmtId="0" fontId="4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7" fillId="2" borderId="3" xfId="0" applyFont="1" applyFill="1" applyBorder="1" applyAlignment="1">
      <alignment vertical="center"/>
    </xf>
    <xf numFmtId="0" fontId="7" fillId="2" borderId="4" xfId="0" applyFont="1" applyFill="1" applyBorder="1" applyAlignment="1">
      <alignment vertical="center"/>
    </xf>
    <xf numFmtId="0" fontId="7" fillId="2" borderId="2" xfId="0" applyFont="1" applyFill="1" applyBorder="1" applyAlignment="1">
      <alignment vertical="center"/>
    </xf>
    <xf numFmtId="0" fontId="7" fillId="2" borderId="5" xfId="0" applyFont="1" applyFill="1" applyBorder="1" applyAlignment="1">
      <alignment vertical="center"/>
    </xf>
    <xf numFmtId="0" fontId="7" fillId="2" borderId="6" xfId="0" applyFont="1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5" fillId="3" borderId="7" xfId="0" applyFont="1" applyFill="1" applyBorder="1" applyAlignment="1">
      <alignment vertical="center"/>
    </xf>
    <xf numFmtId="0" fontId="1" fillId="3" borderId="7" xfId="0" applyFont="1" applyFill="1" applyBorder="1" applyAlignment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tabSelected="1" zoomScale="190" zoomScaleNormal="190" workbookViewId="0">
      <selection activeCell="F21" sqref="F21"/>
    </sheetView>
  </sheetViews>
  <sheetFormatPr defaultColWidth="9.14285714285714" defaultRowHeight="15" outlineLevelCol="6"/>
  <cols>
    <col min="1" max="1" width="8.57142857142857" customWidth="1"/>
    <col min="2" max="2" width="7.98095238095238" customWidth="1"/>
    <col min="3" max="3" width="14"/>
    <col min="4" max="4" width="13.5904761904762" customWidth="1"/>
    <col min="5" max="5" width="16.2571428571429" customWidth="1"/>
    <col min="6" max="6" width="12.8571428571429"/>
    <col min="7" max="7" width="13.6" customWidth="1"/>
  </cols>
  <sheetData>
    <row r="1" spans="1:2">
      <c r="A1" s="14" t="s">
        <v>0</v>
      </c>
      <c r="B1" s="15"/>
    </row>
    <row r="2" spans="1:2">
      <c r="A2" s="16" t="s">
        <v>1</v>
      </c>
      <c r="B2" s="17">
        <v>0</v>
      </c>
    </row>
    <row r="3" spans="1:2">
      <c r="A3" s="18" t="s">
        <v>2</v>
      </c>
      <c r="B3" s="19">
        <v>1</v>
      </c>
    </row>
    <row r="4" spans="1:2">
      <c r="A4" s="20" t="s">
        <v>3</v>
      </c>
      <c r="B4" s="15">
        <v>0.0001</v>
      </c>
    </row>
    <row r="5" ht="15.75"/>
    <row r="6" ht="17.25" spans="1:7">
      <c r="A6" s="21" t="s">
        <v>4</v>
      </c>
      <c r="B6" s="21" t="s">
        <v>5</v>
      </c>
      <c r="C6" s="21" t="s">
        <v>6</v>
      </c>
      <c r="D6" s="22" t="s">
        <v>7</v>
      </c>
      <c r="E6" s="22" t="s">
        <v>8</v>
      </c>
      <c r="F6" s="22" t="s">
        <v>9</v>
      </c>
      <c r="G6" s="22" t="s">
        <v>10</v>
      </c>
    </row>
    <row r="7" ht="15.75" spans="1:7">
      <c r="A7" s="21">
        <v>0</v>
      </c>
      <c r="B7" s="21">
        <f>$B$2</f>
        <v>0</v>
      </c>
      <c r="C7" s="21">
        <f t="shared" ref="C7:C14" si="0">B7^3+3*B7-1</f>
        <v>-1</v>
      </c>
      <c r="D7" s="21"/>
      <c r="E7" s="21"/>
      <c r="F7" s="21"/>
      <c r="G7" s="21"/>
    </row>
    <row r="8" ht="15.75" spans="1:7">
      <c r="A8" s="21">
        <f t="shared" ref="A8:A14" si="1">A7+1</f>
        <v>1</v>
      </c>
      <c r="B8" s="21">
        <f>$B$3</f>
        <v>1</v>
      </c>
      <c r="C8" s="21">
        <f t="shared" si="0"/>
        <v>3</v>
      </c>
      <c r="D8" s="23">
        <f t="shared" ref="D8:D14" si="2">B8-B7</f>
        <v>1</v>
      </c>
      <c r="E8" s="21">
        <f t="shared" ref="E8:E14" si="3">C8-C7</f>
        <v>4</v>
      </c>
      <c r="F8" s="21">
        <f t="shared" ref="F8:F14" si="4">B8-C8*(B8-B7)/(C8-C7)</f>
        <v>0.25</v>
      </c>
      <c r="G8" s="21">
        <f t="shared" ref="G8:G14" si="5">ABS(F8-B8)</f>
        <v>0.75</v>
      </c>
    </row>
    <row r="9" ht="15.75" spans="1:7">
      <c r="A9" s="21">
        <f t="shared" si="1"/>
        <v>2</v>
      </c>
      <c r="B9" s="21">
        <f t="shared" ref="B9:B14" si="6">F8</f>
        <v>0.25</v>
      </c>
      <c r="C9" s="21">
        <f t="shared" si="0"/>
        <v>-0.234375</v>
      </c>
      <c r="D9" s="21">
        <f t="shared" si="2"/>
        <v>-0.75</v>
      </c>
      <c r="E9" s="21">
        <f t="shared" si="3"/>
        <v>-3.234375</v>
      </c>
      <c r="F9" s="21">
        <f t="shared" si="4"/>
        <v>0.304347826086957</v>
      </c>
      <c r="G9" s="21">
        <f t="shared" si="5"/>
        <v>0.0543478260869565</v>
      </c>
    </row>
    <row r="10" ht="15.75" spans="1:7">
      <c r="A10" s="21">
        <f t="shared" si="1"/>
        <v>3</v>
      </c>
      <c r="B10" s="21">
        <f t="shared" si="6"/>
        <v>0.304347826086957</v>
      </c>
      <c r="C10" s="21">
        <f t="shared" si="0"/>
        <v>-0.0587655132736089</v>
      </c>
      <c r="D10" s="21">
        <f t="shared" si="2"/>
        <v>0.0543478260869565</v>
      </c>
      <c r="E10" s="21">
        <f t="shared" si="3"/>
        <v>0.175609486726391</v>
      </c>
      <c r="F10" s="21">
        <f t="shared" si="4"/>
        <v>0.322534644776774</v>
      </c>
      <c r="G10" s="21">
        <f t="shared" si="5"/>
        <v>0.0181868186898178</v>
      </c>
    </row>
    <row r="11" ht="15.75" spans="1:7">
      <c r="A11" s="21">
        <f t="shared" si="1"/>
        <v>4</v>
      </c>
      <c r="B11" s="21">
        <f t="shared" si="6"/>
        <v>0.322534644776774</v>
      </c>
      <c r="C11" s="21">
        <f t="shared" si="0"/>
        <v>0.0011567609365597</v>
      </c>
      <c r="D11" s="21">
        <f t="shared" si="2"/>
        <v>0.0181868186898178</v>
      </c>
      <c r="E11" s="21">
        <f t="shared" si="3"/>
        <v>0.0599222742101686</v>
      </c>
      <c r="F11" s="21">
        <f t="shared" si="4"/>
        <v>0.322183559947335</v>
      </c>
      <c r="G11" s="21">
        <f t="shared" si="5"/>
        <v>0.000351084829439019</v>
      </c>
    </row>
    <row r="12" ht="15.75" spans="1:7">
      <c r="A12" s="21">
        <f t="shared" si="1"/>
        <v>5</v>
      </c>
      <c r="B12" s="21">
        <f t="shared" si="6"/>
        <v>0.322183559947335</v>
      </c>
      <c r="C12" s="21">
        <f t="shared" si="0"/>
        <v>-5.94291442113093e-6</v>
      </c>
      <c r="D12" s="21">
        <f t="shared" si="2"/>
        <v>-0.000351084829439019</v>
      </c>
      <c r="E12" s="21">
        <f t="shared" si="3"/>
        <v>-0.00116270385098083</v>
      </c>
      <c r="F12" s="21">
        <f t="shared" si="4"/>
        <v>0.322185354443065</v>
      </c>
      <c r="G12" s="21">
        <f t="shared" si="5"/>
        <v>1.79449573006751e-6</v>
      </c>
    </row>
    <row r="13" ht="15.75" spans="1:7">
      <c r="A13" s="21">
        <f t="shared" si="1"/>
        <v>6</v>
      </c>
      <c r="B13" s="21">
        <f t="shared" si="6"/>
        <v>0.322185354443065</v>
      </c>
      <c r="C13" s="21">
        <f t="shared" si="0"/>
        <v>-6.06055094998226e-10</v>
      </c>
      <c r="D13" s="21">
        <f t="shared" si="2"/>
        <v>1.79449573006751e-6</v>
      </c>
      <c r="E13" s="21">
        <f t="shared" si="3"/>
        <v>5.94230836603593e-6</v>
      </c>
      <c r="F13" s="21">
        <f t="shared" si="4"/>
        <v>0.322185354626086</v>
      </c>
      <c r="G13" s="21">
        <f t="shared" si="5"/>
        <v>1.83020321120608e-10</v>
      </c>
    </row>
    <row r="14" ht="15.75" spans="1:7">
      <c r="A14" s="21">
        <f t="shared" si="1"/>
        <v>7</v>
      </c>
      <c r="B14" s="21">
        <f t="shared" si="6"/>
        <v>0.322185354626086</v>
      </c>
      <c r="C14" s="21">
        <f t="shared" si="0"/>
        <v>0</v>
      </c>
      <c r="D14" s="21">
        <f t="shared" si="2"/>
        <v>1.83020321120608e-10</v>
      </c>
      <c r="E14" s="21">
        <f t="shared" si="3"/>
        <v>6.06055094998226e-10</v>
      </c>
      <c r="F14" s="21">
        <f t="shared" si="4"/>
        <v>0.322185354626086</v>
      </c>
      <c r="G14" s="21">
        <f t="shared" si="5"/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zoomScale="205" zoomScaleNormal="205" workbookViewId="0">
      <selection activeCell="G18" sqref="G18"/>
    </sheetView>
  </sheetViews>
  <sheetFormatPr defaultColWidth="9.14285714285714" defaultRowHeight="15" outlineLevelCol="6"/>
  <cols>
    <col min="1" max="1" width="15.1142857142857" customWidth="1"/>
    <col min="2" max="2" width="13.7238095238095" customWidth="1"/>
    <col min="3" max="5" width="12.8571428571429"/>
    <col min="6" max="6" width="13.3047619047619" customWidth="1"/>
  </cols>
  <sheetData>
    <row r="1" spans="1:2">
      <c r="A1" s="11" t="s">
        <v>11</v>
      </c>
      <c r="B1" s="11" t="s">
        <v>12</v>
      </c>
    </row>
    <row r="2" spans="1:2">
      <c r="A2" s="12" t="s">
        <v>1</v>
      </c>
      <c r="B2" s="12">
        <v>1</v>
      </c>
    </row>
    <row r="3" spans="1:2">
      <c r="A3" s="12" t="s">
        <v>3</v>
      </c>
      <c r="B3" s="12" t="s">
        <v>13</v>
      </c>
    </row>
    <row r="6" ht="16.5" spans="1:7">
      <c r="A6" s="13" t="s">
        <v>4</v>
      </c>
      <c r="B6" s="13" t="s">
        <v>14</v>
      </c>
      <c r="C6" s="13" t="s">
        <v>6</v>
      </c>
      <c r="D6" s="4" t="s">
        <v>15</v>
      </c>
      <c r="E6" s="4" t="s">
        <v>9</v>
      </c>
      <c r="F6" s="4" t="s">
        <v>10</v>
      </c>
      <c r="G6" s="10"/>
    </row>
    <row r="7" spans="1:6">
      <c r="A7" s="13">
        <v>0</v>
      </c>
      <c r="B7" s="5">
        <f>$B$2</f>
        <v>1</v>
      </c>
      <c r="C7" s="13">
        <f t="shared" ref="C7:C12" si="0">B7^3+3*B7-1</f>
        <v>3</v>
      </c>
      <c r="D7" s="13">
        <f t="shared" ref="D7:D12" si="1">3*B7^2+3</f>
        <v>6</v>
      </c>
      <c r="E7" s="13">
        <f t="shared" ref="E7:E12" si="2">B7-C7/D7</f>
        <v>0.5</v>
      </c>
      <c r="F7" s="13">
        <f t="shared" ref="F7:F12" si="3">ABS(E7-B7)</f>
        <v>0.5</v>
      </c>
    </row>
    <row r="8" spans="1:6">
      <c r="A8" s="13">
        <f>A7+1</f>
        <v>1</v>
      </c>
      <c r="B8" s="13">
        <f>E7</f>
        <v>0.5</v>
      </c>
      <c r="C8" s="13">
        <f t="shared" si="0"/>
        <v>0.625</v>
      </c>
      <c r="D8" s="13">
        <f t="shared" si="1"/>
        <v>3.75</v>
      </c>
      <c r="E8" s="13">
        <f t="shared" si="2"/>
        <v>0.333333333333333</v>
      </c>
      <c r="F8" s="13">
        <f t="shared" si="3"/>
        <v>0.166666666666667</v>
      </c>
    </row>
    <row r="9" spans="1:6">
      <c r="A9" s="13">
        <f>A8+1</f>
        <v>2</v>
      </c>
      <c r="B9" s="13">
        <f>E8</f>
        <v>0.333333333333333</v>
      </c>
      <c r="C9" s="13">
        <f t="shared" si="0"/>
        <v>0.037037037037037</v>
      </c>
      <c r="D9" s="13">
        <f t="shared" si="1"/>
        <v>3.33333333333333</v>
      </c>
      <c r="E9" s="13">
        <f t="shared" si="2"/>
        <v>0.322222222222222</v>
      </c>
      <c r="F9" s="13">
        <f t="shared" si="3"/>
        <v>0.0111111111111111</v>
      </c>
    </row>
    <row r="10" spans="1:6">
      <c r="A10" s="13">
        <f>A9+1</f>
        <v>3</v>
      </c>
      <c r="B10" s="13">
        <f>E9</f>
        <v>0.322222222222222</v>
      </c>
      <c r="C10" s="13">
        <f t="shared" si="0"/>
        <v>0.000122085048011256</v>
      </c>
      <c r="D10" s="13">
        <f t="shared" si="1"/>
        <v>3.31148148148148</v>
      </c>
      <c r="E10" s="13">
        <f t="shared" si="2"/>
        <v>0.322185355022845</v>
      </c>
      <c r="F10" s="13">
        <f t="shared" si="3"/>
        <v>3.68671993770664e-5</v>
      </c>
    </row>
    <row r="11" spans="1:6">
      <c r="A11" s="13">
        <f>A10+1</f>
        <v>4</v>
      </c>
      <c r="B11" s="13">
        <f>E10</f>
        <v>0.322185355022845</v>
      </c>
      <c r="C11" s="13">
        <f t="shared" si="0"/>
        <v>1.31383393053852e-9</v>
      </c>
      <c r="D11" s="13">
        <f t="shared" si="1"/>
        <v>3.31141020897359</v>
      </c>
      <c r="E11" s="13">
        <f t="shared" si="2"/>
        <v>0.322185354626086</v>
      </c>
      <c r="F11" s="13">
        <f t="shared" si="3"/>
        <v>3.96759625154175e-10</v>
      </c>
    </row>
    <row r="12" spans="1:6">
      <c r="A12" s="13">
        <f>A11+1</f>
        <v>5</v>
      </c>
      <c r="B12" s="13">
        <f>E11</f>
        <v>0.322185354626086</v>
      </c>
      <c r="C12" s="13">
        <f t="shared" si="0"/>
        <v>0</v>
      </c>
      <c r="D12" s="13">
        <f t="shared" si="1"/>
        <v>3.31141020820661</v>
      </c>
      <c r="E12" s="13">
        <f t="shared" si="2"/>
        <v>0.322185354626086</v>
      </c>
      <c r="F12" s="13">
        <f t="shared" si="3"/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zoomScale="175" zoomScaleNormal="175" workbookViewId="0">
      <selection activeCell="K17" sqref="K17"/>
    </sheetView>
  </sheetViews>
  <sheetFormatPr defaultColWidth="9.14285714285714" defaultRowHeight="15" outlineLevelCol="5"/>
  <cols>
    <col min="1" max="1" width="15.352380952381" customWidth="1"/>
    <col min="2" max="2" width="17.6380952380952" customWidth="1"/>
    <col min="3" max="3" width="17.1333333333333" customWidth="1"/>
    <col min="4" max="4" width="14.447619047619" customWidth="1"/>
    <col min="5" max="5" width="12.647619047619" customWidth="1"/>
  </cols>
  <sheetData>
    <row r="1" spans="1:2">
      <c r="A1" s="1" t="s">
        <v>11</v>
      </c>
      <c r="B1" s="6" t="s">
        <v>16</v>
      </c>
    </row>
    <row r="2" spans="1:2">
      <c r="A2" s="2" t="s">
        <v>1</v>
      </c>
      <c r="B2" s="7">
        <v>0.5</v>
      </c>
    </row>
    <row r="3" spans="1:2">
      <c r="A3" s="2" t="s">
        <v>3</v>
      </c>
      <c r="B3" s="8" t="s">
        <v>13</v>
      </c>
    </row>
    <row r="4" spans="1:2">
      <c r="A4" s="2" t="s">
        <v>17</v>
      </c>
      <c r="B4" s="2">
        <f>-(B2^2)</f>
        <v>-0.25</v>
      </c>
    </row>
    <row r="7" ht="16.5" spans="1:5">
      <c r="A7" s="3" t="s">
        <v>18</v>
      </c>
      <c r="B7" s="3" t="s">
        <v>19</v>
      </c>
      <c r="C7" s="9" t="s">
        <v>20</v>
      </c>
      <c r="D7" s="4" t="s">
        <v>21</v>
      </c>
      <c r="E7" s="4" t="s">
        <v>22</v>
      </c>
    </row>
    <row r="8" spans="1:6">
      <c r="A8" s="3">
        <v>0</v>
      </c>
      <c r="B8" s="3">
        <f>$B$2</f>
        <v>0.5</v>
      </c>
      <c r="C8" s="3">
        <f>(1-B8^3)/3</f>
        <v>0.291666666666667</v>
      </c>
      <c r="D8" s="5">
        <f>ABS(C8-B8)</f>
        <v>0.208333333333333</v>
      </c>
      <c r="E8" s="3">
        <f>C8^3+3*C8-1</f>
        <v>-0.100188078703704</v>
      </c>
      <c r="F8" s="10"/>
    </row>
    <row r="9" spans="1:6">
      <c r="A9" s="5">
        <f>A8+1</f>
        <v>1</v>
      </c>
      <c r="B9" s="5">
        <f>C8</f>
        <v>0.291666666666667</v>
      </c>
      <c r="C9" s="5">
        <f>(1-B9^3)/3</f>
        <v>0.325062692901235</v>
      </c>
      <c r="D9" s="5">
        <f>ABS(C9-B9)</f>
        <v>0.0333960262345679</v>
      </c>
      <c r="E9" s="5">
        <f>C9^3+3*C9-1</f>
        <v>0.00953607334916873</v>
      </c>
      <c r="F9" s="10"/>
    </row>
    <row r="10" spans="1:5">
      <c r="A10" s="5">
        <f t="shared" ref="A10:A27" si="0">A9+1</f>
        <v>2</v>
      </c>
      <c r="B10" s="5">
        <f t="shared" ref="B10:B27" si="1">C9</f>
        <v>0.325062692901235</v>
      </c>
      <c r="C10" s="5">
        <f t="shared" ref="C10:C27" si="2">(1-B10^3)/3</f>
        <v>0.321884001784845</v>
      </c>
      <c r="D10" s="5">
        <f t="shared" ref="D10:D27" si="3">ABS(C10-B10)</f>
        <v>0.00317869111638958</v>
      </c>
      <c r="E10" s="5">
        <f t="shared" ref="E10:E27" si="4">C10^3+3*C10-1</f>
        <v>-0.000997815125750257</v>
      </c>
    </row>
    <row r="11" spans="1:5">
      <c r="A11" s="5">
        <f t="shared" si="0"/>
        <v>3</v>
      </c>
      <c r="B11" s="5">
        <f t="shared" si="1"/>
        <v>0.321884001784845</v>
      </c>
      <c r="C11" s="5">
        <f t="shared" si="2"/>
        <v>0.322216606826762</v>
      </c>
      <c r="D11" s="5">
        <f t="shared" si="3"/>
        <v>0.000332605041916734</v>
      </c>
      <c r="E11" s="5">
        <f t="shared" si="4"/>
        <v>0.000103489800413747</v>
      </c>
    </row>
    <row r="12" spans="1:5">
      <c r="A12" s="5">
        <f t="shared" si="0"/>
        <v>4</v>
      </c>
      <c r="B12" s="5">
        <f t="shared" si="1"/>
        <v>0.322216606826762</v>
      </c>
      <c r="C12" s="5">
        <f t="shared" si="2"/>
        <v>0.322182110226624</v>
      </c>
      <c r="D12" s="5">
        <f t="shared" si="3"/>
        <v>3.44966001379343e-5</v>
      </c>
      <c r="E12" s="5">
        <f t="shared" si="4"/>
        <v>-1.07435273232204e-5</v>
      </c>
    </row>
    <row r="13" spans="1:5">
      <c r="A13" s="5">
        <f t="shared" si="0"/>
        <v>5</v>
      </c>
      <c r="B13" s="5">
        <f t="shared" si="1"/>
        <v>0.322182110226624</v>
      </c>
      <c r="C13" s="5">
        <f t="shared" si="2"/>
        <v>0.322185691402398</v>
      </c>
      <c r="D13" s="5">
        <f t="shared" si="3"/>
        <v>3.58117577442529e-6</v>
      </c>
      <c r="E13" s="5">
        <f t="shared" si="4"/>
        <v>1.11520462930947e-6</v>
      </c>
    </row>
    <row r="14" spans="1:5">
      <c r="A14" s="5">
        <f t="shared" si="0"/>
        <v>6</v>
      </c>
      <c r="B14" s="5">
        <f t="shared" si="1"/>
        <v>0.322185691402398</v>
      </c>
      <c r="C14" s="5">
        <f t="shared" si="2"/>
        <v>0.322185319667522</v>
      </c>
      <c r="D14" s="5">
        <f t="shared" si="3"/>
        <v>3.7173487638098e-7</v>
      </c>
      <c r="E14" s="5">
        <f t="shared" si="4"/>
        <v>-1.15762143648723e-7</v>
      </c>
    </row>
    <row r="15" spans="1:5">
      <c r="A15" s="5">
        <f t="shared" si="0"/>
        <v>7</v>
      </c>
      <c r="B15" s="5">
        <f t="shared" si="1"/>
        <v>0.322185319667522</v>
      </c>
      <c r="C15" s="5">
        <f t="shared" si="2"/>
        <v>0.322185358254903</v>
      </c>
      <c r="D15" s="5">
        <f t="shared" si="3"/>
        <v>3.85873812347448e-8</v>
      </c>
      <c r="E15" s="5">
        <f t="shared" si="4"/>
        <v>1.20165033479225e-8</v>
      </c>
    </row>
    <row r="16" spans="1:5">
      <c r="A16" s="5">
        <f t="shared" si="0"/>
        <v>8</v>
      </c>
      <c r="B16" s="5">
        <f t="shared" si="1"/>
        <v>0.322185358254903</v>
      </c>
      <c r="C16" s="5">
        <f t="shared" si="2"/>
        <v>0.322185354249402</v>
      </c>
      <c r="D16" s="5">
        <f t="shared" si="3"/>
        <v>4.00550109747044e-9</v>
      </c>
      <c r="E16" s="5">
        <f t="shared" si="4"/>
        <v>-1.24735399786857e-9</v>
      </c>
    </row>
    <row r="17" spans="1:5">
      <c r="A17" s="5">
        <f t="shared" si="0"/>
        <v>9</v>
      </c>
      <c r="B17" s="5">
        <f t="shared" si="1"/>
        <v>0.322185354249402</v>
      </c>
      <c r="C17" s="5">
        <f t="shared" si="2"/>
        <v>0.322185354665187</v>
      </c>
      <c r="D17" s="5">
        <f t="shared" si="3"/>
        <v>4.15784684459908e-10</v>
      </c>
      <c r="E17" s="5">
        <f t="shared" si="4"/>
        <v>1.29479538202304e-10</v>
      </c>
    </row>
    <row r="18" spans="1:5">
      <c r="A18" s="5">
        <f t="shared" si="0"/>
        <v>10</v>
      </c>
      <c r="B18" s="5">
        <f t="shared" si="1"/>
        <v>0.322185354665187</v>
      </c>
      <c r="C18" s="5">
        <f t="shared" si="2"/>
        <v>0.322185354622027</v>
      </c>
      <c r="D18" s="5">
        <f t="shared" si="3"/>
        <v>4.3159920082303e-11</v>
      </c>
      <c r="E18" s="5">
        <f t="shared" si="4"/>
        <v>-1.34405819807171e-11</v>
      </c>
    </row>
    <row r="19" spans="1:5">
      <c r="A19" s="5">
        <f t="shared" si="0"/>
        <v>11</v>
      </c>
      <c r="B19" s="5">
        <f t="shared" si="1"/>
        <v>0.322185354622027</v>
      </c>
      <c r="C19" s="5">
        <f t="shared" si="2"/>
        <v>0.322185354626507</v>
      </c>
      <c r="D19" s="5">
        <f t="shared" si="3"/>
        <v>4.48019399357236e-12</v>
      </c>
      <c r="E19" s="5">
        <f t="shared" si="4"/>
        <v>1.39510625274397e-12</v>
      </c>
    </row>
    <row r="20" spans="1:5">
      <c r="A20" s="5">
        <f t="shared" si="0"/>
        <v>12</v>
      </c>
      <c r="B20" s="5">
        <f t="shared" si="1"/>
        <v>0.322185354626507</v>
      </c>
      <c r="C20" s="5">
        <f t="shared" si="2"/>
        <v>0.322185354626042</v>
      </c>
      <c r="D20" s="5">
        <f t="shared" si="3"/>
        <v>4.65072425015478e-13</v>
      </c>
      <c r="E20" s="5">
        <f t="shared" si="4"/>
        <v>-1.4477308241112e-13</v>
      </c>
    </row>
    <row r="21" spans="1:5">
      <c r="A21" s="5">
        <f t="shared" si="0"/>
        <v>13</v>
      </c>
      <c r="B21" s="5">
        <f t="shared" si="1"/>
        <v>0.322185354626042</v>
      </c>
      <c r="C21" s="5">
        <f t="shared" si="2"/>
        <v>0.32218535462609</v>
      </c>
      <c r="D21" s="5">
        <f t="shared" si="3"/>
        <v>4.82947015711943e-14</v>
      </c>
      <c r="E21" s="5">
        <f t="shared" si="4"/>
        <v>1.50990331349021e-14</v>
      </c>
    </row>
    <row r="22" spans="1:5">
      <c r="A22" s="5">
        <f t="shared" si="0"/>
        <v>14</v>
      </c>
      <c r="B22" s="5">
        <f t="shared" si="1"/>
        <v>0.32218535462609</v>
      </c>
      <c r="C22" s="5">
        <f t="shared" si="2"/>
        <v>0.322185354626085</v>
      </c>
      <c r="D22" s="5">
        <f t="shared" si="3"/>
        <v>5.05151476204446e-15</v>
      </c>
      <c r="E22" s="5">
        <f t="shared" si="4"/>
        <v>-1.55431223447522e-15</v>
      </c>
    </row>
    <row r="23" spans="1:5">
      <c r="A23" s="5">
        <f t="shared" si="0"/>
        <v>15</v>
      </c>
      <c r="B23" s="5">
        <f t="shared" si="1"/>
        <v>0.322185354626085</v>
      </c>
      <c r="C23" s="5">
        <f t="shared" si="2"/>
        <v>0.322185354626086</v>
      </c>
      <c r="D23" s="5">
        <f t="shared" si="3"/>
        <v>4.9960036108132e-16</v>
      </c>
      <c r="E23" s="5">
        <f t="shared" si="4"/>
        <v>0</v>
      </c>
    </row>
    <row r="24" spans="1:5">
      <c r="A24" s="5">
        <f t="shared" si="0"/>
        <v>16</v>
      </c>
      <c r="B24" s="5">
        <f t="shared" si="1"/>
        <v>0.322185354626086</v>
      </c>
      <c r="C24" s="5">
        <f t="shared" si="2"/>
        <v>0.322185354626086</v>
      </c>
      <c r="D24" s="5">
        <f t="shared" si="3"/>
        <v>0</v>
      </c>
      <c r="E24" s="5">
        <f t="shared" si="4"/>
        <v>0</v>
      </c>
    </row>
    <row r="25" spans="1:5">
      <c r="A25" s="5">
        <f t="shared" si="0"/>
        <v>17</v>
      </c>
      <c r="B25" s="5">
        <f t="shared" si="1"/>
        <v>0.322185354626086</v>
      </c>
      <c r="C25" s="5">
        <f t="shared" si="2"/>
        <v>0.322185354626086</v>
      </c>
      <c r="D25" s="5">
        <f t="shared" si="3"/>
        <v>0</v>
      </c>
      <c r="E25" s="5">
        <f t="shared" si="4"/>
        <v>0</v>
      </c>
    </row>
    <row r="26" spans="1:5">
      <c r="A26" s="5">
        <f t="shared" si="0"/>
        <v>18</v>
      </c>
      <c r="B26" s="5">
        <f t="shared" si="1"/>
        <v>0.322185354626086</v>
      </c>
      <c r="C26" s="5">
        <f t="shared" si="2"/>
        <v>0.322185354626086</v>
      </c>
      <c r="D26" s="5">
        <f t="shared" si="3"/>
        <v>0</v>
      </c>
      <c r="E26" s="5">
        <f t="shared" si="4"/>
        <v>0</v>
      </c>
    </row>
    <row r="27" spans="1:5">
      <c r="A27" s="5">
        <f t="shared" si="0"/>
        <v>19</v>
      </c>
      <c r="B27" s="5">
        <f t="shared" si="1"/>
        <v>0.322185354626086</v>
      </c>
      <c r="C27" s="5">
        <f t="shared" si="2"/>
        <v>0.322185354626086</v>
      </c>
      <c r="D27" s="5">
        <f t="shared" si="3"/>
        <v>0</v>
      </c>
      <c r="E27" s="5">
        <f t="shared" si="4"/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zoomScale="175" zoomScaleNormal="175" workbookViewId="0">
      <selection activeCell="L11" sqref="L11"/>
    </sheetView>
  </sheetViews>
  <sheetFormatPr defaultColWidth="9.14285714285714" defaultRowHeight="15" outlineLevelCol="7"/>
  <cols>
    <col min="1" max="1" width="16.247619047619" customWidth="1"/>
    <col min="2" max="3" width="12.8571428571429"/>
    <col min="4" max="4" width="11.0095238095238" customWidth="1"/>
    <col min="5" max="6" width="14"/>
    <col min="7" max="8" width="12.8571428571429"/>
  </cols>
  <sheetData>
    <row r="1" spans="1:2">
      <c r="A1" s="1" t="s">
        <v>11</v>
      </c>
      <c r="B1" s="2"/>
    </row>
    <row r="2" spans="1:2">
      <c r="A2" s="2" t="s">
        <v>23</v>
      </c>
      <c r="B2" s="2">
        <v>0</v>
      </c>
    </row>
    <row r="3" spans="1:2">
      <c r="A3" s="2" t="s">
        <v>24</v>
      </c>
      <c r="B3" s="2">
        <v>1</v>
      </c>
    </row>
    <row r="4" spans="1:2">
      <c r="A4" s="2" t="s">
        <v>3</v>
      </c>
      <c r="B4" s="2" t="s">
        <v>13</v>
      </c>
    </row>
    <row r="5" spans="1:2">
      <c r="A5" s="1" t="s">
        <v>25</v>
      </c>
      <c r="B5" s="2">
        <f>B2^3+3*B2-1</f>
        <v>-1</v>
      </c>
    </row>
    <row r="6" spans="1:2">
      <c r="A6" s="1" t="s">
        <v>26</v>
      </c>
      <c r="B6" s="2">
        <f>B3^3+3*B3-1</f>
        <v>3</v>
      </c>
    </row>
    <row r="8" ht="16.5" spans="1:8">
      <c r="A8" s="3" t="s">
        <v>27</v>
      </c>
      <c r="B8" s="3" t="s">
        <v>23</v>
      </c>
      <c r="C8" s="3" t="s">
        <v>24</v>
      </c>
      <c r="D8" s="4" t="s">
        <v>28</v>
      </c>
      <c r="E8" s="4" t="s">
        <v>29</v>
      </c>
      <c r="F8" s="3" t="s">
        <v>30</v>
      </c>
      <c r="G8" s="3" t="s">
        <v>31</v>
      </c>
      <c r="H8" s="4" t="s">
        <v>32</v>
      </c>
    </row>
    <row r="9" spans="1:8">
      <c r="A9" s="3">
        <v>1</v>
      </c>
      <c r="B9" s="3">
        <f>$B$2</f>
        <v>0</v>
      </c>
      <c r="C9" s="3">
        <f>$B$3</f>
        <v>1</v>
      </c>
      <c r="D9" s="3">
        <f>(B9+C9)/2</f>
        <v>0.5</v>
      </c>
      <c r="E9" s="3">
        <f>D9^3+3*D9-1</f>
        <v>0.625</v>
      </c>
      <c r="F9" s="3">
        <f>E9*$B$5</f>
        <v>-0.625</v>
      </c>
      <c r="G9" s="3">
        <f>C9-B9</f>
        <v>1</v>
      </c>
      <c r="H9" s="3">
        <f>ABS(E9)</f>
        <v>0.625</v>
      </c>
    </row>
    <row r="10" spans="1:8">
      <c r="A10" s="3">
        <f>A9+1</f>
        <v>2</v>
      </c>
      <c r="B10" s="3">
        <f>B9*(F9&lt;0)+D9*(F9&gt;=0)</f>
        <v>0</v>
      </c>
      <c r="C10" s="3">
        <f>D9*(F9&lt;0)+C9*(F9&gt;=0)</f>
        <v>0.5</v>
      </c>
      <c r="D10" s="3">
        <f>(B10+C10)/2</f>
        <v>0.25</v>
      </c>
      <c r="E10" s="5">
        <f>D10^3+3*D10-1</f>
        <v>-0.234375</v>
      </c>
      <c r="F10" s="3">
        <f>E10*$B$5</f>
        <v>0.234375</v>
      </c>
      <c r="G10" s="3">
        <f>C10-B10</f>
        <v>0.5</v>
      </c>
      <c r="H10" s="3">
        <f>ABS(E10)</f>
        <v>0.234375</v>
      </c>
    </row>
    <row r="11" spans="1:8">
      <c r="A11" s="3">
        <f t="shared" ref="A11:A23" si="0">A10+1</f>
        <v>3</v>
      </c>
      <c r="B11" s="3">
        <f t="shared" ref="B11:B23" si="1">B10*(F10&lt;0)+D10*(F10&gt;=0)</f>
        <v>0.25</v>
      </c>
      <c r="C11" s="3">
        <f t="shared" ref="C11:C23" si="2">D10*(F10&lt;0)+C10*(F10&gt;=0)</f>
        <v>0.5</v>
      </c>
      <c r="D11" s="3">
        <f t="shared" ref="D11:D23" si="3">(B11+C11)/2</f>
        <v>0.375</v>
      </c>
      <c r="E11" s="5">
        <f t="shared" ref="E11:E23" si="4">D11^3+3*D11-1</f>
        <v>0.177734375</v>
      </c>
      <c r="F11" s="3">
        <f t="shared" ref="F11:F23" si="5">E11*$B$5</f>
        <v>-0.177734375</v>
      </c>
      <c r="G11" s="3">
        <f t="shared" ref="G11:G23" si="6">C11-B11</f>
        <v>0.25</v>
      </c>
      <c r="H11" s="3">
        <f t="shared" ref="H11:H23" si="7">ABS(E11)</f>
        <v>0.177734375</v>
      </c>
    </row>
    <row r="12" spans="1:8">
      <c r="A12" s="3">
        <f t="shared" si="0"/>
        <v>4</v>
      </c>
      <c r="B12" s="3">
        <f t="shared" si="1"/>
        <v>0.25</v>
      </c>
      <c r="C12" s="3">
        <f t="shared" si="2"/>
        <v>0.375</v>
      </c>
      <c r="D12" s="3">
        <f t="shared" si="3"/>
        <v>0.3125</v>
      </c>
      <c r="E12" s="5">
        <f t="shared" si="4"/>
        <v>-0.031982421875</v>
      </c>
      <c r="F12" s="3">
        <f t="shared" si="5"/>
        <v>0.031982421875</v>
      </c>
      <c r="G12" s="3">
        <f t="shared" si="6"/>
        <v>0.125</v>
      </c>
      <c r="H12" s="3">
        <f t="shared" si="7"/>
        <v>0.031982421875</v>
      </c>
    </row>
    <row r="13" spans="1:8">
      <c r="A13" s="3">
        <f t="shared" si="0"/>
        <v>5</v>
      </c>
      <c r="B13" s="3">
        <f t="shared" si="1"/>
        <v>0.3125</v>
      </c>
      <c r="C13" s="3">
        <f t="shared" si="2"/>
        <v>0.375</v>
      </c>
      <c r="D13" s="3">
        <f t="shared" si="3"/>
        <v>0.34375</v>
      </c>
      <c r="E13" s="5">
        <f t="shared" si="4"/>
        <v>0.071868896484375</v>
      </c>
      <c r="F13" s="3">
        <f t="shared" si="5"/>
        <v>-0.071868896484375</v>
      </c>
      <c r="G13" s="3">
        <f t="shared" si="6"/>
        <v>0.0625</v>
      </c>
      <c r="H13" s="3">
        <f t="shared" si="7"/>
        <v>0.071868896484375</v>
      </c>
    </row>
    <row r="14" spans="1:8">
      <c r="A14" s="3">
        <f t="shared" si="0"/>
        <v>6</v>
      </c>
      <c r="B14" s="3">
        <f t="shared" si="1"/>
        <v>0.3125</v>
      </c>
      <c r="C14" s="3">
        <f t="shared" si="2"/>
        <v>0.34375</v>
      </c>
      <c r="D14" s="3">
        <f t="shared" si="3"/>
        <v>0.328125</v>
      </c>
      <c r="E14" s="5">
        <f t="shared" si="4"/>
        <v>0.0197029113769531</v>
      </c>
      <c r="F14" s="3">
        <f t="shared" si="5"/>
        <v>-0.0197029113769531</v>
      </c>
      <c r="G14" s="3">
        <f t="shared" si="6"/>
        <v>0.03125</v>
      </c>
      <c r="H14" s="3">
        <f t="shared" si="7"/>
        <v>0.0197029113769531</v>
      </c>
    </row>
    <row r="15" spans="1:8">
      <c r="A15" s="3">
        <f t="shared" si="0"/>
        <v>7</v>
      </c>
      <c r="B15" s="3">
        <f t="shared" si="1"/>
        <v>0.3125</v>
      </c>
      <c r="C15" s="3">
        <f t="shared" si="2"/>
        <v>0.328125</v>
      </c>
      <c r="D15" s="3">
        <f t="shared" si="3"/>
        <v>0.3203125</v>
      </c>
      <c r="E15" s="5">
        <f t="shared" si="4"/>
        <v>-0.00619840621948242</v>
      </c>
      <c r="F15" s="3">
        <f t="shared" si="5"/>
        <v>0.00619840621948242</v>
      </c>
      <c r="G15" s="3">
        <f t="shared" si="6"/>
        <v>0.015625</v>
      </c>
      <c r="H15" s="3">
        <f t="shared" si="7"/>
        <v>0.00619840621948242</v>
      </c>
    </row>
    <row r="16" spans="1:8">
      <c r="A16" s="3">
        <f t="shared" si="0"/>
        <v>8</v>
      </c>
      <c r="B16" s="3">
        <f t="shared" si="1"/>
        <v>0.3203125</v>
      </c>
      <c r="C16" s="3">
        <f t="shared" si="2"/>
        <v>0.328125</v>
      </c>
      <c r="D16" s="3">
        <f t="shared" si="3"/>
        <v>0.32421875</v>
      </c>
      <c r="E16" s="5">
        <f t="shared" si="4"/>
        <v>0.00673741102218628</v>
      </c>
      <c r="F16" s="3">
        <f t="shared" si="5"/>
        <v>-0.00673741102218628</v>
      </c>
      <c r="G16" s="3">
        <f t="shared" si="6"/>
        <v>0.0078125</v>
      </c>
      <c r="H16" s="3">
        <f t="shared" si="7"/>
        <v>0.00673741102218628</v>
      </c>
    </row>
    <row r="17" spans="1:8">
      <c r="A17" s="3">
        <f t="shared" si="0"/>
        <v>9</v>
      </c>
      <c r="B17" s="3">
        <f t="shared" si="1"/>
        <v>0.3203125</v>
      </c>
      <c r="C17" s="3">
        <f t="shared" si="2"/>
        <v>0.32421875</v>
      </c>
      <c r="D17" s="3">
        <f t="shared" si="3"/>
        <v>0.322265625</v>
      </c>
      <c r="E17" s="5">
        <f t="shared" si="4"/>
        <v>0.000265814363956451</v>
      </c>
      <c r="F17" s="3">
        <f t="shared" si="5"/>
        <v>-0.000265814363956451</v>
      </c>
      <c r="G17" s="3">
        <f t="shared" si="6"/>
        <v>0.00390625</v>
      </c>
      <c r="H17" s="3">
        <f t="shared" si="7"/>
        <v>0.000265814363956451</v>
      </c>
    </row>
    <row r="18" spans="1:8">
      <c r="A18" s="3">
        <f t="shared" si="0"/>
        <v>10</v>
      </c>
      <c r="B18" s="3">
        <f t="shared" si="1"/>
        <v>0.3203125</v>
      </c>
      <c r="C18" s="3">
        <f t="shared" si="2"/>
        <v>0.322265625</v>
      </c>
      <c r="D18" s="3">
        <f t="shared" si="3"/>
        <v>0.3212890625</v>
      </c>
      <c r="E18" s="5">
        <f t="shared" si="4"/>
        <v>-0.00296721514314413</v>
      </c>
      <c r="F18" s="3">
        <f t="shared" si="5"/>
        <v>0.00296721514314413</v>
      </c>
      <c r="G18" s="3">
        <f t="shared" si="6"/>
        <v>0.001953125</v>
      </c>
      <c r="H18" s="3">
        <f t="shared" si="7"/>
        <v>0.00296721514314413</v>
      </c>
    </row>
    <row r="19" spans="1:8">
      <c r="A19" s="3">
        <f t="shared" si="0"/>
        <v>11</v>
      </c>
      <c r="B19" s="3">
        <f t="shared" si="1"/>
        <v>0.3212890625</v>
      </c>
      <c r="C19" s="3">
        <f t="shared" si="2"/>
        <v>0.322265625</v>
      </c>
      <c r="D19" s="3">
        <f t="shared" si="3"/>
        <v>0.32177734375</v>
      </c>
      <c r="E19" s="5">
        <f t="shared" si="4"/>
        <v>-0.00135093054268509</v>
      </c>
      <c r="F19" s="3">
        <f t="shared" si="5"/>
        <v>0.00135093054268509</v>
      </c>
      <c r="G19" s="3">
        <f t="shared" si="6"/>
        <v>0.0009765625</v>
      </c>
      <c r="H19" s="3">
        <f t="shared" si="7"/>
        <v>0.00135093054268509</v>
      </c>
    </row>
    <row r="20" spans="1:8">
      <c r="A20" s="3">
        <f t="shared" si="0"/>
        <v>12</v>
      </c>
      <c r="B20" s="3">
        <f t="shared" si="1"/>
        <v>0.32177734375</v>
      </c>
      <c r="C20" s="3">
        <f t="shared" si="2"/>
        <v>0.322265625</v>
      </c>
      <c r="D20" s="3">
        <f t="shared" si="3"/>
        <v>0.322021484375</v>
      </c>
      <c r="E20" s="5">
        <f t="shared" si="4"/>
        <v>-0.000542615671292879</v>
      </c>
      <c r="F20" s="3">
        <f t="shared" si="5"/>
        <v>0.000542615671292879</v>
      </c>
      <c r="G20" s="3">
        <f t="shared" si="6"/>
        <v>0.00048828125</v>
      </c>
      <c r="H20" s="3">
        <f t="shared" si="7"/>
        <v>0.000542615671292879</v>
      </c>
    </row>
    <row r="21" spans="1:8">
      <c r="A21" s="3">
        <f t="shared" si="0"/>
        <v>13</v>
      </c>
      <c r="B21" s="3">
        <f t="shared" si="1"/>
        <v>0.322021484375</v>
      </c>
      <c r="C21" s="3">
        <f t="shared" si="2"/>
        <v>0.322265625</v>
      </c>
      <c r="D21" s="3">
        <f t="shared" si="3"/>
        <v>0.3221435546875</v>
      </c>
      <c r="E21" s="5">
        <f t="shared" si="4"/>
        <v>-0.000138415054607322</v>
      </c>
      <c r="F21" s="3">
        <f t="shared" si="5"/>
        <v>0.000138415054607322</v>
      </c>
      <c r="G21" s="3">
        <f t="shared" si="6"/>
        <v>0.000244140625</v>
      </c>
      <c r="H21" s="3">
        <f t="shared" si="7"/>
        <v>0.000138415054607322</v>
      </c>
    </row>
    <row r="22" spans="1:8">
      <c r="A22" s="3">
        <f t="shared" si="0"/>
        <v>14</v>
      </c>
      <c r="B22" s="3">
        <f t="shared" si="1"/>
        <v>0.3221435546875</v>
      </c>
      <c r="C22" s="3">
        <f t="shared" si="2"/>
        <v>0.322265625</v>
      </c>
      <c r="D22" s="3">
        <f t="shared" si="3"/>
        <v>0.32220458984375</v>
      </c>
      <c r="E22" s="5">
        <f t="shared" si="4"/>
        <v>6.3696053757667e-5</v>
      </c>
      <c r="F22" s="3">
        <f t="shared" si="5"/>
        <v>-6.3696053757667e-5</v>
      </c>
      <c r="G22" s="3">
        <f t="shared" si="6"/>
        <v>0.0001220703125</v>
      </c>
      <c r="H22" s="3">
        <f t="shared" si="7"/>
        <v>6.3696053757667e-5</v>
      </c>
    </row>
    <row r="23" spans="1:8">
      <c r="A23" s="3">
        <f t="shared" si="0"/>
        <v>15</v>
      </c>
      <c r="B23" s="3">
        <f t="shared" si="1"/>
        <v>0.3221435546875</v>
      </c>
      <c r="C23" s="3">
        <f t="shared" si="2"/>
        <v>0.32220458984375</v>
      </c>
      <c r="D23" s="3">
        <f t="shared" si="3"/>
        <v>0.322174072265625</v>
      </c>
      <c r="E23" s="5">
        <f t="shared" si="4"/>
        <v>-3.73604005687866e-5</v>
      </c>
      <c r="F23" s="3">
        <f t="shared" si="5"/>
        <v>3.73604005687866e-5</v>
      </c>
      <c r="G23" s="3">
        <f t="shared" si="6"/>
        <v>6.103515625e-5</v>
      </c>
      <c r="H23" s="3">
        <f t="shared" si="7"/>
        <v>3.73604005687866e-5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секущие</vt:lpstr>
      <vt:lpstr>ньютон</vt:lpstr>
      <vt:lpstr>простая итерация</vt:lpstr>
      <vt:lpstr>бисекция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2026-09-19T12:29:00Z</dcterms:created>
  <dcterms:modified xsi:type="dcterms:W3CDTF">2026-09-20T06:17:41Z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63339AE4E46041358A097D3247A34B3F_11</vt:lpwstr>
  </property>
  <property fmtid="{D5CDD505-2E9C-101B-9397-08002B2CF9AE}" pid="3" name="KSOProductBuildVer">
    <vt:lpwstr>1049-12.2.0.23206</vt:lpwstr>
  </property>
</Properties>
</file>